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OneDrive\Documents\"/>
    </mc:Choice>
  </mc:AlternateContent>
  <xr:revisionPtr revIDLastSave="0" documentId="13_ncr:1_{5D9E5D43-3D60-4A56-9473-BD98D61F42C2}" xr6:coauthVersionLast="47" xr6:coauthVersionMax="47" xr10:uidLastSave="{00000000-0000-0000-0000-000000000000}"/>
  <bookViews>
    <workbookView xWindow="-110" yWindow="370" windowWidth="19420" windowHeight="10540" xr2:uid="{B648E0E7-9EF4-430E-A3A5-985ECFB179BE}"/>
  </bookViews>
  <sheets>
    <sheet name="Template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6" i="1" l="1"/>
  <c r="J17" i="1" s="1"/>
  <c r="E16" i="1"/>
  <c r="D29" i="1"/>
  <c r="D28" i="1"/>
  <c r="D27" i="1"/>
  <c r="D26" i="1"/>
  <c r="D25" i="1"/>
  <c r="D24" i="1"/>
  <c r="D23" i="1"/>
  <c r="D22" i="1"/>
  <c r="I16" i="1"/>
  <c r="H16" i="1"/>
  <c r="G16" i="1"/>
  <c r="F16" i="1"/>
  <c r="D16" i="1"/>
  <c r="D31" i="1" l="1"/>
</calcChain>
</file>

<file path=xl/sharedStrings.xml><?xml version="1.0" encoding="utf-8"?>
<sst xmlns="http://schemas.openxmlformats.org/spreadsheetml/2006/main" count="28" uniqueCount="28">
  <si>
    <t>Comments</t>
  </si>
  <si>
    <t>Rate</t>
  </si>
  <si>
    <t>Name</t>
  </si>
  <si>
    <t>Hours</t>
  </si>
  <si>
    <t>Costs</t>
  </si>
  <si>
    <t>TOTAL</t>
  </si>
  <si>
    <t>TOTAL cOSTS</t>
  </si>
  <si>
    <t>Contingency requirements (10%)</t>
  </si>
  <si>
    <t>Note: Update cost categories to reflect actual project requirements</t>
  </si>
  <si>
    <t>Personnel cost requirements</t>
  </si>
  <si>
    <t>WBS identifier #</t>
  </si>
  <si>
    <t>Work package</t>
  </si>
  <si>
    <t>Total direct costs</t>
  </si>
  <si>
    <t>Internal personal required</t>
  </si>
  <si>
    <t>External personnel required</t>
  </si>
  <si>
    <t>Venue costs</t>
  </si>
  <si>
    <t>Materials required</t>
  </si>
  <si>
    <t>Supplies required</t>
  </si>
  <si>
    <t>Equipment required</t>
  </si>
  <si>
    <t>Design Phase</t>
  </si>
  <si>
    <t>Development Phase</t>
  </si>
  <si>
    <t>Testing Phase</t>
  </si>
  <si>
    <t>Launch &amp; Improvement Phase</t>
  </si>
  <si>
    <t>50% of App Development Cost</t>
  </si>
  <si>
    <t>Data Feeds and IT Hardware/Software</t>
  </si>
  <si>
    <t>IT Storage and Security Upgrades</t>
  </si>
  <si>
    <t>Remaining App Development Cost</t>
  </si>
  <si>
    <t>High-Level Budget: Resource Breakdown Structure
Project Name:  Develop Real-Time Marketing Intelligence Application for AHI
Date: April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</si>
</sst>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£&quot;* #,##0.00_-;\-&quot;£&quot;* #,##0.00_-;_-&quot;£&quot;* &quot;-&quot;??_-;_-@_-"/>
    <numFmt numFmtId="164" formatCode="&quot;$&quot;#,##0_);[Red]\(&quot;$&quot;#,##0\)"/>
    <numFmt numFmtId="165" formatCode="&quot;$&quot;#,##0"/>
  </numFmts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7C8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2" fillId="0" borderId="0" xfId="0" applyFont="1"/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2" fillId="4" borderId="1" xfId="0" applyFont="1" applyFill="1" applyBorder="1"/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5" fontId="2" fillId="5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165" fontId="2" fillId="4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64" fontId="2" fillId="0" borderId="1" xfId="0" applyNumberFormat="1" applyFont="1" applyBorder="1"/>
    <xf numFmtId="164" fontId="2" fillId="8" borderId="1" xfId="0" applyNumberFormat="1" applyFont="1" applyFill="1" applyBorder="1"/>
    <xf numFmtId="0" fontId="2" fillId="2" borderId="0" xfId="0" applyFont="1" applyFill="1" applyAlignment="1">
      <alignment horizontal="center"/>
    </xf>
    <xf numFmtId="164" fontId="2" fillId="0" borderId="0" xfId="0" applyNumberFormat="1" applyFont="1"/>
    <xf numFmtId="164" fontId="2" fillId="8" borderId="0" xfId="0" applyNumberFormat="1" applyFont="1" applyFill="1"/>
    <xf numFmtId="0" fontId="2" fillId="0" borderId="0" xfId="0" applyFont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1" fillId="7" borderId="2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4" xfId="0" applyFont="1" applyFill="1" applyBorder="1" applyAlignment="1">
      <alignment horizontal="center" vertical="center"/>
    </xf>
    <xf numFmtId="0" fontId="2" fillId="7" borderId="5" xfId="0" applyFont="1" applyFill="1" applyBorder="1" applyAlignment="1">
      <alignment horizontal="center" vertical="center"/>
    </xf>
    <xf numFmtId="0" fontId="2" fillId="7" borderId="6" xfId="0" applyFont="1" applyFill="1" applyBorder="1" applyAlignment="1">
      <alignment horizontal="center" vertical="center"/>
    </xf>
    <xf numFmtId="0" fontId="2" fillId="7" borderId="7" xfId="0" applyFont="1" applyFill="1" applyBorder="1" applyAlignment="1">
      <alignment horizontal="center" vertical="center"/>
    </xf>
    <xf numFmtId="0" fontId="2" fillId="8" borderId="8" xfId="0" applyFont="1" applyFill="1" applyBorder="1" applyAlignment="1">
      <alignment horizontal="center" vertical="center"/>
    </xf>
    <xf numFmtId="0" fontId="2" fillId="8" borderId="9" xfId="0" applyFont="1" applyFill="1" applyBorder="1" applyAlignment="1">
      <alignment horizontal="center" vertical="center"/>
    </xf>
    <xf numFmtId="0" fontId="2" fillId="8" borderId="10" xfId="0" applyFont="1" applyFill="1" applyBorder="1" applyAlignment="1">
      <alignment horizontal="center" vertical="center"/>
    </xf>
    <xf numFmtId="0" fontId="1" fillId="9" borderId="11" xfId="0" applyFont="1" applyFill="1" applyBorder="1" applyAlignment="1">
      <alignment horizontal="center" vertical="center"/>
    </xf>
    <xf numFmtId="0" fontId="2" fillId="9" borderId="12" xfId="0" applyFont="1" applyFill="1" applyBorder="1" applyAlignment="1">
      <alignment horizontal="center" vertical="center"/>
    </xf>
    <xf numFmtId="0" fontId="2" fillId="9" borderId="13" xfId="0" applyFont="1" applyFill="1" applyBorder="1" applyAlignment="1">
      <alignment horizontal="center" vertical="center"/>
    </xf>
    <xf numFmtId="0" fontId="2" fillId="9" borderId="14" xfId="0" applyFont="1" applyFill="1" applyBorder="1" applyAlignment="1">
      <alignment horizontal="center" vertical="center"/>
    </xf>
    <xf numFmtId="0" fontId="2" fillId="9" borderId="15" xfId="0" applyFont="1" applyFill="1" applyBorder="1" applyAlignment="1">
      <alignment horizontal="center" vertical="center"/>
    </xf>
    <xf numFmtId="0" fontId="2" fillId="9" borderId="16" xfId="0" applyFont="1" applyFill="1" applyBorder="1" applyAlignment="1">
      <alignment horizontal="center" vertical="center"/>
    </xf>
    <xf numFmtId="0" fontId="1" fillId="4" borderId="1" xfId="0" applyFont="1" applyFill="1" applyBorder="1"/>
    <xf numFmtId="0" fontId="1" fillId="0" borderId="1" xfId="0" applyFont="1" applyBorder="1"/>
    <xf numFmtId="0" fontId="1" fillId="4" borderId="1" xfId="0" applyFont="1" applyFill="1" applyBorder="1" applyAlignment="1"/>
    <xf numFmtId="44" fontId="2" fillId="0" borderId="1" xfId="0" applyNumberFormat="1" applyFont="1" applyBorder="1"/>
    <xf numFmtId="165" fontId="2" fillId="0" borderId="1" xfId="0" applyNumberFormat="1" applyFont="1" applyFill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7C80"/>
      <color rgb="FFCCFF99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7859F-F8E0-4A3D-BC73-1B73E3A08FD9}">
  <dimension ref="A1:J31"/>
  <sheetViews>
    <sheetView tabSelected="1" workbookViewId="0">
      <selection activeCell="B6" sqref="B6"/>
    </sheetView>
  </sheetViews>
  <sheetFormatPr defaultColWidth="9.1796875" defaultRowHeight="15.5" x14ac:dyDescent="0.35"/>
  <cols>
    <col min="1" max="1" width="16.453125" style="1" customWidth="1"/>
    <col min="2" max="2" width="27.90625" style="1" bestFit="1" customWidth="1"/>
    <col min="3" max="7" width="18.6328125" style="1" customWidth="1"/>
    <col min="8" max="8" width="15.7265625" style="1" customWidth="1"/>
    <col min="9" max="9" width="35.7265625" style="1" customWidth="1"/>
    <col min="10" max="10" width="18.6328125" style="1" customWidth="1"/>
    <col min="11" max="16384" width="9.1796875" style="1"/>
  </cols>
  <sheetData>
    <row r="1" spans="1:10" ht="45" customHeight="1" x14ac:dyDescent="0.35">
      <c r="A1" s="20" t="s">
        <v>27</v>
      </c>
      <c r="B1" s="21"/>
      <c r="C1" s="21"/>
      <c r="D1" s="21"/>
      <c r="E1" s="21"/>
      <c r="F1" s="21"/>
      <c r="G1" s="21"/>
      <c r="H1" s="21"/>
      <c r="I1" s="21"/>
      <c r="J1" s="21"/>
    </row>
    <row r="2" spans="1:10" ht="31" x14ac:dyDescent="0.35">
      <c r="A2" s="18" t="s">
        <v>10</v>
      </c>
      <c r="B2" s="18" t="s">
        <v>11</v>
      </c>
      <c r="C2" s="19" t="s">
        <v>13</v>
      </c>
      <c r="D2" s="19" t="s">
        <v>14</v>
      </c>
      <c r="E2" s="19" t="s">
        <v>15</v>
      </c>
      <c r="F2" s="18" t="s">
        <v>16</v>
      </c>
      <c r="G2" s="18" t="s">
        <v>17</v>
      </c>
      <c r="H2" s="19" t="s">
        <v>18</v>
      </c>
      <c r="I2" s="2" t="s">
        <v>0</v>
      </c>
      <c r="J2" s="18" t="s">
        <v>12</v>
      </c>
    </row>
    <row r="3" spans="1:10" x14ac:dyDescent="0.35">
      <c r="A3" s="41">
        <v>1.1000000000000001</v>
      </c>
      <c r="B3" s="40" t="s">
        <v>19</v>
      </c>
      <c r="C3" s="44">
        <v>0</v>
      </c>
      <c r="D3" s="44">
        <v>90000</v>
      </c>
      <c r="E3" s="44">
        <v>0</v>
      </c>
      <c r="F3" s="45">
        <v>0</v>
      </c>
      <c r="G3" s="44">
        <v>0</v>
      </c>
      <c r="H3" s="45">
        <v>0</v>
      </c>
      <c r="I3" s="3" t="s">
        <v>23</v>
      </c>
      <c r="J3" s="43">
        <v>90000</v>
      </c>
    </row>
    <row r="4" spans="1:10" x14ac:dyDescent="0.35">
      <c r="A4" s="39">
        <v>1.2</v>
      </c>
      <c r="B4" s="40" t="s">
        <v>20</v>
      </c>
      <c r="C4" s="44">
        <v>0</v>
      </c>
      <c r="D4" s="44">
        <v>0</v>
      </c>
      <c r="E4" s="44">
        <v>0</v>
      </c>
      <c r="F4" s="44">
        <v>5000</v>
      </c>
      <c r="G4" s="44">
        <v>0</v>
      </c>
      <c r="H4" s="44">
        <v>15000</v>
      </c>
      <c r="I4" s="40" t="s">
        <v>24</v>
      </c>
      <c r="J4" s="43">
        <v>20000</v>
      </c>
    </row>
    <row r="5" spans="1:10" x14ac:dyDescent="0.35">
      <c r="A5" s="4">
        <v>1.3</v>
      </c>
      <c r="B5" s="40" t="s">
        <v>21</v>
      </c>
      <c r="C5" s="44">
        <v>0</v>
      </c>
      <c r="D5" s="44">
        <v>0</v>
      </c>
      <c r="E5" s="44">
        <v>0</v>
      </c>
      <c r="F5" s="44">
        <v>0</v>
      </c>
      <c r="G5" s="44">
        <v>0</v>
      </c>
      <c r="H5" s="44">
        <v>35000</v>
      </c>
      <c r="I5" s="3" t="s">
        <v>25</v>
      </c>
      <c r="J5" s="43">
        <v>35000</v>
      </c>
    </row>
    <row r="6" spans="1:10" x14ac:dyDescent="0.35">
      <c r="A6" s="4">
        <v>1.4</v>
      </c>
      <c r="B6" s="40" t="s">
        <v>22</v>
      </c>
      <c r="C6" s="44">
        <v>0</v>
      </c>
      <c r="D6" s="44">
        <v>90000</v>
      </c>
      <c r="E6" s="44">
        <v>0</v>
      </c>
      <c r="F6" s="44">
        <v>0</v>
      </c>
      <c r="G6" s="44">
        <v>0</v>
      </c>
      <c r="H6" s="44">
        <v>0</v>
      </c>
      <c r="I6" s="3" t="s">
        <v>26</v>
      </c>
      <c r="J6" s="43">
        <v>90000</v>
      </c>
    </row>
    <row r="7" spans="1:10" x14ac:dyDescent="0.35">
      <c r="A7" s="39"/>
      <c r="B7" s="3"/>
      <c r="C7" s="40"/>
      <c r="D7" s="3"/>
      <c r="E7" s="3"/>
      <c r="F7" s="3"/>
      <c r="G7" s="3"/>
      <c r="H7" s="3"/>
      <c r="I7" s="3"/>
      <c r="J7" s="42"/>
    </row>
    <row r="8" spans="1:10" x14ac:dyDescent="0.35">
      <c r="A8" s="4"/>
      <c r="B8" s="3"/>
      <c r="C8" s="3"/>
      <c r="D8" s="3"/>
      <c r="E8" s="3"/>
      <c r="F8" s="3"/>
      <c r="G8" s="3"/>
      <c r="H8" s="3"/>
      <c r="I8" s="3"/>
      <c r="J8" s="42"/>
    </row>
    <row r="9" spans="1:10" x14ac:dyDescent="0.35">
      <c r="A9" s="4"/>
      <c r="B9" s="3"/>
      <c r="C9" s="3"/>
      <c r="D9" s="3"/>
      <c r="E9" s="3"/>
      <c r="F9" s="3"/>
      <c r="G9" s="3"/>
      <c r="H9" s="3"/>
      <c r="I9" s="3"/>
      <c r="J9" s="42"/>
    </row>
    <row r="10" spans="1:10" x14ac:dyDescent="0.35">
      <c r="A10" s="4"/>
      <c r="B10" s="3"/>
      <c r="C10" s="3"/>
      <c r="D10" s="3"/>
      <c r="E10" s="3"/>
      <c r="F10" s="3"/>
      <c r="G10" s="3"/>
      <c r="H10" s="3"/>
      <c r="I10" s="3"/>
      <c r="J10" s="42"/>
    </row>
    <row r="11" spans="1:10" x14ac:dyDescent="0.35">
      <c r="A11" s="4"/>
      <c r="B11" s="3"/>
      <c r="C11" s="3"/>
      <c r="D11" s="3"/>
      <c r="E11" s="3"/>
      <c r="F11" s="3"/>
      <c r="G11" s="3"/>
      <c r="H11" s="3"/>
      <c r="I11" s="3"/>
      <c r="J11" s="42"/>
    </row>
    <row r="12" spans="1:10" x14ac:dyDescent="0.35">
      <c r="A12" s="4"/>
      <c r="B12" s="3"/>
      <c r="C12" s="3"/>
      <c r="D12" s="3"/>
      <c r="E12" s="3"/>
      <c r="F12" s="3"/>
      <c r="G12" s="3"/>
      <c r="H12" s="3"/>
      <c r="I12" s="3"/>
      <c r="J12" s="42"/>
    </row>
    <row r="13" spans="1:10" x14ac:dyDescent="0.35">
      <c r="A13" s="4"/>
      <c r="B13" s="3"/>
      <c r="C13" s="3"/>
      <c r="D13" s="3"/>
      <c r="E13" s="3"/>
      <c r="F13" s="3"/>
      <c r="G13" s="3"/>
      <c r="H13" s="3"/>
      <c r="I13" s="3"/>
      <c r="J13" s="42"/>
    </row>
    <row r="14" spans="1:10" x14ac:dyDescent="0.35">
      <c r="A14" s="4"/>
      <c r="B14" s="3"/>
      <c r="C14" s="3"/>
      <c r="D14" s="3"/>
      <c r="E14" s="3"/>
      <c r="F14" s="3"/>
      <c r="G14" s="3"/>
      <c r="H14" s="3"/>
      <c r="I14" s="3"/>
      <c r="J14" s="42"/>
    </row>
    <row r="15" spans="1:10" x14ac:dyDescent="0.35">
      <c r="A15" s="4"/>
      <c r="B15" s="3"/>
      <c r="C15" s="3"/>
      <c r="D15" s="3"/>
      <c r="E15" s="3"/>
      <c r="F15" s="3"/>
      <c r="G15" s="3"/>
      <c r="H15" s="3"/>
      <c r="I15" s="3"/>
      <c r="J15" s="42"/>
    </row>
    <row r="16" spans="1:10" x14ac:dyDescent="0.35">
      <c r="A16" s="17" t="s">
        <v>6</v>
      </c>
      <c r="B16" s="8"/>
      <c r="C16" s="7">
        <v>0</v>
      </c>
      <c r="D16" s="7">
        <f t="shared" ref="C16:E16" si="0">SUM(D2:D15)</f>
        <v>180000</v>
      </c>
      <c r="E16" s="7">
        <f t="shared" si="0"/>
        <v>0</v>
      </c>
      <c r="F16" s="7">
        <f>SUM(F2:F15)</f>
        <v>5000</v>
      </c>
      <c r="G16" s="7">
        <f>SUM(G2:G15)</f>
        <v>0</v>
      </c>
      <c r="H16" s="7">
        <f>SUM(H2:H15)</f>
        <v>50000</v>
      </c>
      <c r="I16" s="7">
        <f>SUM(I2:I15)</f>
        <v>0</v>
      </c>
      <c r="J16" s="7">
        <f>SUM(J3:J6)</f>
        <v>235000</v>
      </c>
    </row>
    <row r="17" spans="1:10" x14ac:dyDescent="0.35">
      <c r="A17" s="22" t="s">
        <v>7</v>
      </c>
      <c r="B17" s="23"/>
      <c r="C17" s="23"/>
      <c r="D17" s="23"/>
      <c r="E17" s="23"/>
      <c r="F17" s="23"/>
      <c r="G17" s="23"/>
      <c r="H17" s="23"/>
      <c r="I17" s="23"/>
      <c r="J17" s="9">
        <f>J16*10%</f>
        <v>23500</v>
      </c>
    </row>
    <row r="18" spans="1:10" ht="16" thickBot="1" x14ac:dyDescent="0.4"/>
    <row r="19" spans="1:10" x14ac:dyDescent="0.35">
      <c r="A19" s="24" t="s">
        <v>9</v>
      </c>
      <c r="B19" s="25"/>
      <c r="C19" s="25"/>
      <c r="D19" s="26"/>
      <c r="E19" s="16"/>
      <c r="G19" s="33" t="s">
        <v>8</v>
      </c>
      <c r="H19" s="34"/>
      <c r="I19" s="34"/>
      <c r="J19" s="35"/>
    </row>
    <row r="20" spans="1:10" ht="16" thickBot="1" x14ac:dyDescent="0.4">
      <c r="A20" s="27"/>
      <c r="B20" s="28"/>
      <c r="C20" s="28"/>
      <c r="D20" s="29"/>
      <c r="E20" s="16"/>
      <c r="G20" s="36"/>
      <c r="H20" s="37"/>
      <c r="I20" s="37"/>
      <c r="J20" s="38"/>
    </row>
    <row r="21" spans="1:10" x14ac:dyDescent="0.35">
      <c r="A21" s="10" t="s">
        <v>1</v>
      </c>
      <c r="B21" s="10" t="s">
        <v>2</v>
      </c>
      <c r="C21" s="10" t="s">
        <v>3</v>
      </c>
      <c r="D21" s="10" t="s">
        <v>4</v>
      </c>
      <c r="E21" s="13"/>
    </row>
    <row r="22" spans="1:10" x14ac:dyDescent="0.35">
      <c r="A22" s="6"/>
      <c r="B22" s="3"/>
      <c r="C22" s="5"/>
      <c r="D22" s="11">
        <f>C22*A22</f>
        <v>0</v>
      </c>
      <c r="E22" s="14"/>
    </row>
    <row r="23" spans="1:10" x14ac:dyDescent="0.35">
      <c r="A23" s="6"/>
      <c r="B23" s="3"/>
      <c r="C23" s="5"/>
      <c r="D23" s="11">
        <f>C23*A23</f>
        <v>0</v>
      </c>
      <c r="E23" s="14"/>
    </row>
    <row r="24" spans="1:10" x14ac:dyDescent="0.35">
      <c r="A24" s="6"/>
      <c r="B24" s="3"/>
      <c r="C24" s="5"/>
      <c r="D24" s="11">
        <f t="shared" ref="D24:D29" si="1">C24*A24</f>
        <v>0</v>
      </c>
      <c r="E24" s="14"/>
    </row>
    <row r="25" spans="1:10" x14ac:dyDescent="0.35">
      <c r="A25" s="6"/>
      <c r="B25" s="3"/>
      <c r="C25" s="5"/>
      <c r="D25" s="11">
        <f t="shared" si="1"/>
        <v>0</v>
      </c>
      <c r="E25" s="14"/>
    </row>
    <row r="26" spans="1:10" x14ac:dyDescent="0.35">
      <c r="A26" s="6"/>
      <c r="B26" s="3"/>
      <c r="C26" s="5"/>
      <c r="D26" s="11">
        <f t="shared" si="1"/>
        <v>0</v>
      </c>
      <c r="E26" s="14"/>
    </row>
    <row r="27" spans="1:10" x14ac:dyDescent="0.35">
      <c r="A27" s="6"/>
      <c r="B27" s="3"/>
      <c r="C27" s="5"/>
      <c r="D27" s="11">
        <f t="shared" si="1"/>
        <v>0</v>
      </c>
      <c r="E27" s="14"/>
    </row>
    <row r="28" spans="1:10" x14ac:dyDescent="0.35">
      <c r="A28" s="6"/>
      <c r="B28" s="3"/>
      <c r="C28" s="5"/>
      <c r="D28" s="11">
        <f t="shared" si="1"/>
        <v>0</v>
      </c>
      <c r="E28" s="14"/>
    </row>
    <row r="29" spans="1:10" x14ac:dyDescent="0.35">
      <c r="A29" s="6"/>
      <c r="B29" s="3"/>
      <c r="C29" s="5"/>
      <c r="D29" s="11">
        <f t="shared" si="1"/>
        <v>0</v>
      </c>
      <c r="E29" s="14"/>
    </row>
    <row r="30" spans="1:10" x14ac:dyDescent="0.35">
      <c r="A30" s="6"/>
      <c r="B30" s="3"/>
      <c r="C30" s="5"/>
      <c r="D30" s="3"/>
    </row>
    <row r="31" spans="1:10" x14ac:dyDescent="0.35">
      <c r="A31" s="30" t="s">
        <v>5</v>
      </c>
      <c r="B31" s="31"/>
      <c r="C31" s="32"/>
      <c r="D31" s="12">
        <f>SUM(D22:D30)</f>
        <v>0</v>
      </c>
      <c r="E31" s="15"/>
    </row>
  </sheetData>
  <mergeCells count="5">
    <mergeCell ref="A1:J1"/>
    <mergeCell ref="A17:I17"/>
    <mergeCell ref="A19:D20"/>
    <mergeCell ref="A31:C31"/>
    <mergeCell ref="G19:J20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Yeomans</dc:creator>
  <cp:lastModifiedBy>John Macharia</cp:lastModifiedBy>
  <cp:lastPrinted>2023-06-18T17:06:50Z</cp:lastPrinted>
  <dcterms:created xsi:type="dcterms:W3CDTF">2023-03-21T19:54:22Z</dcterms:created>
  <dcterms:modified xsi:type="dcterms:W3CDTF">2026-08-07T14:54:58Z</dcterms:modified>
</cp:coreProperties>
</file>